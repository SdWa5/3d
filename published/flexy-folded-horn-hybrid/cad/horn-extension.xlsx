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  <sheet state="visible" name="Kopie von Tabellenblatt1" sheetId="2" r:id="rId5"/>
    <sheet state="visible" name="Tabellenblatt2" sheetId="3" r:id="rId6"/>
    <sheet state="visible" name="Tabellenblatt3" sheetId="4" r:id="rId7"/>
  </sheets>
  <definedNames/>
  <calcPr/>
</workbook>
</file>

<file path=xl/sharedStrings.xml><?xml version="1.0" encoding="utf-8"?>
<sst xmlns="http://schemas.openxmlformats.org/spreadsheetml/2006/main" count="75" uniqueCount="61">
  <si>
    <t>segment degrees</t>
  </si>
  <si>
    <t>segment lengths</t>
  </si>
  <si>
    <t>segment lengths 1a+b</t>
  </si>
  <si>
    <t>total length</t>
  </si>
  <si>
    <t>height</t>
  </si>
  <si>
    <t>height - 65</t>
  </si>
  <si>
    <t>1a</t>
  </si>
  <si>
    <t>1b</t>
  </si>
  <si>
    <t>a</t>
  </si>
  <si>
    <t>b</t>
  </si>
  <si>
    <t>c</t>
  </si>
  <si>
    <t>regression</t>
  </si>
  <si>
    <t>gesamtlänge</t>
  </si>
  <si>
    <t>breite</t>
  </si>
  <si>
    <t>länge hornverlängerung</t>
  </si>
  <si>
    <t>2400x1241x591</t>
  </si>
  <si>
    <t>2* 2400x1017</t>
  </si>
  <si>
    <t>2* 1017x571</t>
  </si>
  <si>
    <t>2* 632x571 28° 4°</t>
  </si>
  <si>
    <t>2* 570x571 4° 53°</t>
  </si>
  <si>
    <t>0,0034 m2</t>
  </si>
  <si>
    <t>0,0047 m2</t>
  </si>
  <si>
    <t>0,0065 m2</t>
  </si>
  <si>
    <t>0,009 m2</t>
  </si>
  <si>
    <t>0,0124 m2</t>
  </si>
  <si>
    <t>0,017 m2</t>
  </si>
  <si>
    <t>0,0235 m2</t>
  </si>
  <si>
    <t>0,0324 m2</t>
  </si>
  <si>
    <t>0,0446 m2</t>
  </si>
  <si>
    <t>0,0615 m2</t>
  </si>
  <si>
    <t>0,0848 m2</t>
  </si>
  <si>
    <t>1,169,512</t>
  </si>
  <si>
    <t>0,117 m2</t>
  </si>
  <si>
    <t>1,612,292</t>
  </si>
  <si>
    <t>0,1612 m2</t>
  </si>
  <si>
    <t>0,2223 m2</t>
  </si>
  <si>
    <t>3,064,222</t>
  </si>
  <si>
    <t>0,3064 m2</t>
  </si>
  <si>
    <t>4,224,332</t>
  </si>
  <si>
    <t>0,4224 m2</t>
  </si>
  <si>
    <t>5,823,672</t>
  </si>
  <si>
    <t>0,5824 m2</t>
  </si>
  <si>
    <t>8,028,522</t>
  </si>
  <si>
    <t>0,8029 m2</t>
  </si>
  <si>
    <t>11,068,132</t>
  </si>
  <si>
    <t>1,1068 m2</t>
  </si>
  <si>
    <t>15,258,542</t>
  </si>
  <si>
    <t>1,5259 m2</t>
  </si>
  <si>
    <t>21,035,452</t>
  </si>
  <si>
    <t>2,1035 m2</t>
  </si>
  <si>
    <t>2,8999 m2</t>
  </si>
  <si>
    <t>39,978,752</t>
  </si>
  <si>
    <t>3,9979 m2</t>
  </si>
  <si>
    <t>55,114,762</t>
  </si>
  <si>
    <t>5,5115 m2</t>
  </si>
  <si>
    <t>75,981,282</t>
  </si>
  <si>
    <t>7,5981 m2</t>
  </si>
  <si>
    <t>A_0 (mm^2)</t>
  </si>
  <si>
    <t>e</t>
  </si>
  <si>
    <t>k (m)</t>
  </si>
  <si>
    <t xml:space="preserve">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</si>
</sst>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DEDE"/>
        <bgColor rgb="FFDEDEDE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3" xfId="0" applyFont="1" applyNumberFormat="1"/>
    <xf borderId="0" fillId="2" fontId="1" numFmtId="0" xfId="0" applyAlignment="1" applyFill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Tabellenblatt1!$B$10:$B$17</c:f>
            </c:strRef>
          </c:cat>
          <c:val>
            <c:numRef>
              <c:f>Tabellenblatt1!$F$2:$F$5</c:f>
              <c:numCache/>
            </c:numRef>
          </c:val>
          <c:smooth val="0"/>
        </c:ser>
        <c:ser>
          <c:idx val="1"/>
          <c:order val="1"/>
          <c:tx>
            <c:v>exp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Tabellenblatt1!$B$10:$B$17</c:f>
            </c:strRef>
          </c:cat>
          <c:val>
            <c:numRef>
              <c:f>Tabellenblatt1!$C$10:$C$17</c:f>
              <c:numCache/>
            </c:numRef>
          </c:val>
          <c:smooth val="0"/>
        </c:ser>
        <c:axId val="1962182618"/>
        <c:axId val="390821092"/>
      </c:lineChart>
      <c:catAx>
        <c:axId val="1962182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821092"/>
      </c:catAx>
      <c:valAx>
        <c:axId val="390821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182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'Kopie von Tabellenblatt1'!$B$10:$B$18</c:f>
            </c:strRef>
          </c:cat>
          <c:val>
            <c:numRef>
              <c:f>'Kopie von Tabellenblatt1'!$F$2:$F$5</c:f>
              <c:numCache/>
            </c:numRef>
          </c:val>
          <c:smooth val="0"/>
        </c:ser>
        <c:ser>
          <c:idx val="1"/>
          <c:order val="1"/>
          <c:tx>
            <c:v>exp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'Kopie von Tabellenblatt1'!$B$10:$B$18</c:f>
            </c:strRef>
          </c:cat>
          <c:val>
            <c:numRef>
              <c:f>'Kopie von Tabellenblatt1'!$C$10:$C$18</c:f>
              <c:numCache/>
            </c:numRef>
          </c:val>
          <c:smooth val="0"/>
        </c:ser>
        <c:axId val="717746326"/>
        <c:axId val="66967526"/>
      </c:lineChart>
      <c:catAx>
        <c:axId val="717746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67526"/>
      </c:catAx>
      <c:valAx>
        <c:axId val="66967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746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Tabellenblatt2!$B$1:$B$25</c:f>
            </c:strRef>
          </c:cat>
          <c:val>
            <c:numRef>
              <c:f>Tabellenblatt2!$D$1:$D$25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Tabellenblatt2!$B$1:$B$25</c:f>
            </c:strRef>
          </c:cat>
          <c:val>
            <c:numRef>
              <c:f>Tabellenblatt2!$F$1:$F$25</c:f>
              <c:numCache/>
            </c:numRef>
          </c:val>
          <c:smooth val="0"/>
        </c:ser>
        <c:axId val="1553129795"/>
        <c:axId val="1078943668"/>
      </c:lineChart>
      <c:catAx>
        <c:axId val="1553129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943668"/>
      </c:catAx>
      <c:valAx>
        <c:axId val="1078943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129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5</xdr:row>
      <xdr:rowOff>123825</xdr:rowOff>
    </xdr:from>
    <xdr:ext cx="8801100" cy="54673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5</xdr:row>
      <xdr:rowOff>123825</xdr:rowOff>
    </xdr:from>
    <xdr:ext cx="8801100" cy="54673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666750</xdr:colOff>
      <xdr:row>0</xdr:row>
      <xdr:rowOff>85725</xdr:rowOff>
    </xdr:from>
    <xdr:ext cx="10020300" cy="6200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4.38"/>
    <col customWidth="1" min="4" max="4" width="1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B2" s="1">
        <v>4.6</v>
      </c>
      <c r="C2" s="1">
        <v>417.0</v>
      </c>
      <c r="E2" s="1">
        <v>0.0</v>
      </c>
      <c r="F2" s="1">
        <v>66.0</v>
      </c>
      <c r="G2" s="1">
        <v>1.0</v>
      </c>
    </row>
    <row r="3">
      <c r="A3" s="2" t="s">
        <v>7</v>
      </c>
      <c r="B3" s="1">
        <v>4.6</v>
      </c>
      <c r="C3" s="1">
        <v>454.0</v>
      </c>
      <c r="D3" s="1">
        <v>871.0</v>
      </c>
      <c r="E3" s="1">
        <f>D3</f>
        <v>871</v>
      </c>
      <c r="F3" s="1">
        <v>200.0</v>
      </c>
      <c r="G3" s="1">
        <f t="shared" ref="G3:G5" si="1">F3-F2+G2</f>
        <v>135</v>
      </c>
    </row>
    <row r="4">
      <c r="A4" s="2">
        <v>2.0</v>
      </c>
      <c r="B4" s="1">
        <v>8.8</v>
      </c>
      <c r="C4" s="1">
        <v>542.0</v>
      </c>
      <c r="D4" s="1">
        <v>542.0</v>
      </c>
      <c r="E4" s="1">
        <f t="shared" ref="E4:E5" si="2">E3+D4</f>
        <v>1413</v>
      </c>
      <c r="F4" s="1">
        <v>353.0</v>
      </c>
      <c r="G4" s="1">
        <f t="shared" si="1"/>
        <v>288</v>
      </c>
    </row>
    <row r="5">
      <c r="A5" s="2">
        <v>3.0</v>
      </c>
      <c r="B5" s="1">
        <v>19.2</v>
      </c>
      <c r="C5" s="1">
        <v>316.0</v>
      </c>
      <c r="D5" s="1">
        <v>316.0</v>
      </c>
      <c r="E5" s="1">
        <f t="shared" si="2"/>
        <v>1729</v>
      </c>
      <c r="F5" s="1">
        <v>463.0</v>
      </c>
      <c r="G5" s="1">
        <f t="shared" si="1"/>
        <v>398</v>
      </c>
    </row>
    <row r="7">
      <c r="B7" s="1" t="s">
        <v>8</v>
      </c>
      <c r="C7" s="1" t="s">
        <v>9</v>
      </c>
      <c r="D7" s="1" t="s">
        <v>10</v>
      </c>
    </row>
    <row r="8">
      <c r="A8" s="1" t="s">
        <v>11</v>
      </c>
      <c r="B8" s="1">
        <v>133.0</v>
      </c>
      <c r="C8" s="1">
        <v>1.0008</v>
      </c>
      <c r="D8" s="1">
        <f>F2</f>
        <v>66</v>
      </c>
    </row>
    <row r="10">
      <c r="B10" s="1">
        <v>0.0</v>
      </c>
      <c r="C10" s="3">
        <f t="shared" ref="C10:C17" si="3">(B$8*C$8^B10)+D$8-B$8</f>
        <v>66</v>
      </c>
    </row>
    <row r="11">
      <c r="B11" s="1">
        <v>871.0</v>
      </c>
      <c r="C11" s="3">
        <f t="shared" si="3"/>
        <v>199.899066</v>
      </c>
    </row>
    <row r="12">
      <c r="B12" s="1">
        <v>1413.0</v>
      </c>
      <c r="C12" s="3">
        <f t="shared" si="3"/>
        <v>344.7009389</v>
      </c>
    </row>
    <row r="13">
      <c r="B13" s="1">
        <v>1729.0</v>
      </c>
      <c r="C13" s="3">
        <f t="shared" si="3"/>
        <v>463.0631461</v>
      </c>
    </row>
    <row r="14">
      <c r="B14" s="1">
        <v>2045.0</v>
      </c>
      <c r="C14" s="3">
        <f t="shared" si="3"/>
        <v>615.4539669</v>
      </c>
    </row>
    <row r="15">
      <c r="B15" s="1">
        <v>2361.0</v>
      </c>
      <c r="C15" s="3">
        <f t="shared" si="3"/>
        <v>811.6564777</v>
      </c>
    </row>
    <row r="16">
      <c r="B16" s="1">
        <v>2677.0</v>
      </c>
      <c r="C16" s="3">
        <f t="shared" si="3"/>
        <v>1064.266346</v>
      </c>
    </row>
    <row r="17">
      <c r="B17" s="1">
        <v>2993.0</v>
      </c>
      <c r="C17" s="3">
        <f t="shared" si="3"/>
        <v>1389.50044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4.38"/>
    <col customWidth="1" min="4" max="4" width="18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B2" s="1">
        <v>4.6</v>
      </c>
      <c r="C2" s="1">
        <v>417.0</v>
      </c>
      <c r="E2" s="1">
        <v>0.0</v>
      </c>
      <c r="F2" s="1">
        <v>66.0</v>
      </c>
      <c r="G2" s="1">
        <v>1.0</v>
      </c>
    </row>
    <row r="3">
      <c r="A3" s="2" t="s">
        <v>7</v>
      </c>
      <c r="B3" s="1">
        <v>4.6</v>
      </c>
      <c r="C3" s="1">
        <v>454.0</v>
      </c>
      <c r="D3" s="1">
        <v>871.0</v>
      </c>
      <c r="E3" s="1">
        <f>D3</f>
        <v>871</v>
      </c>
      <c r="F3" s="1">
        <v>200.0</v>
      </c>
      <c r="G3" s="1">
        <f t="shared" ref="G3:G5" si="1">F3-F2+G2</f>
        <v>135</v>
      </c>
    </row>
    <row r="4">
      <c r="A4" s="2">
        <v>2.0</v>
      </c>
      <c r="B4" s="1">
        <v>8.8</v>
      </c>
      <c r="C4" s="1">
        <v>542.0</v>
      </c>
      <c r="D4" s="1">
        <v>542.0</v>
      </c>
      <c r="E4" s="1">
        <f t="shared" ref="E4:E5" si="2">E3+D4</f>
        <v>1413</v>
      </c>
      <c r="F4" s="1">
        <v>353.0</v>
      </c>
      <c r="G4" s="1">
        <f t="shared" si="1"/>
        <v>288</v>
      </c>
    </row>
    <row r="5">
      <c r="A5" s="2">
        <v>3.0</v>
      </c>
      <c r="B5" s="1">
        <v>19.2</v>
      </c>
      <c r="C5" s="1">
        <v>316.0</v>
      </c>
      <c r="D5" s="1">
        <v>316.0</v>
      </c>
      <c r="E5" s="1">
        <f t="shared" si="2"/>
        <v>1729</v>
      </c>
      <c r="F5" s="1">
        <v>463.0</v>
      </c>
      <c r="G5" s="1">
        <f t="shared" si="1"/>
        <v>398</v>
      </c>
    </row>
    <row r="7">
      <c r="B7" s="1" t="s">
        <v>8</v>
      </c>
      <c r="C7" s="1" t="s">
        <v>9</v>
      </c>
      <c r="D7" s="1" t="s">
        <v>10</v>
      </c>
    </row>
    <row r="8">
      <c r="A8" s="1" t="s">
        <v>11</v>
      </c>
      <c r="B8" s="1">
        <v>196.0</v>
      </c>
      <c r="C8" s="1">
        <v>1.00064</v>
      </c>
      <c r="D8" s="1">
        <f>F2</f>
        <v>66</v>
      </c>
    </row>
    <row r="10">
      <c r="B10" s="1">
        <v>0.0</v>
      </c>
      <c r="C10" s="3">
        <f t="shared" ref="C10:C13" si="3">(B$8*C$8^B10)+D$8-B$8</f>
        <v>66</v>
      </c>
    </row>
    <row r="11">
      <c r="B11" s="1">
        <v>871.0</v>
      </c>
      <c r="C11" s="3">
        <f t="shared" si="3"/>
        <v>212.1934959</v>
      </c>
    </row>
    <row r="12">
      <c r="B12" s="1">
        <v>1413.0</v>
      </c>
      <c r="C12" s="3">
        <f t="shared" si="3"/>
        <v>354.0292798</v>
      </c>
    </row>
    <row r="13">
      <c r="B13" s="1">
        <v>1958.0</v>
      </c>
      <c r="C13" s="3">
        <f t="shared" si="3"/>
        <v>555.9699567</v>
      </c>
    </row>
    <row r="15">
      <c r="A15" s="3">
        <f>0.55</f>
        <v>0.55</v>
      </c>
      <c r="B15" s="3">
        <f>B13+(D17*A15)</f>
        <v>2517.35</v>
      </c>
      <c r="C15" s="3">
        <f>(B$8*C$8^B15)+D$8-B$8</f>
        <v>851.1283882</v>
      </c>
      <c r="D15" s="3">
        <f>B15-B13</f>
        <v>559.35</v>
      </c>
    </row>
    <row r="17">
      <c r="B17" s="1">
        <v>2975.0</v>
      </c>
      <c r="C17" s="3">
        <f>(B$8*C$8^B17)+D$8-B$8</f>
        <v>1184.886513</v>
      </c>
      <c r="D17" s="3">
        <f>B17-B13</f>
        <v>1017</v>
      </c>
    </row>
    <row r="18">
      <c r="B18" s="1" t="s">
        <v>12</v>
      </c>
      <c r="C18" s="1" t="s">
        <v>13</v>
      </c>
      <c r="D18" s="1" t="s">
        <v>14</v>
      </c>
    </row>
    <row r="20">
      <c r="C20" s="1" t="s">
        <v>15</v>
      </c>
    </row>
    <row r="24">
      <c r="C24" s="1" t="s">
        <v>16</v>
      </c>
    </row>
    <row r="25">
      <c r="C25" s="1" t="s">
        <v>17</v>
      </c>
    </row>
    <row r="26">
      <c r="C26" s="1" t="s">
        <v>18</v>
      </c>
    </row>
    <row r="27">
      <c r="C27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1.0</v>
      </c>
      <c r="B1" s="4">
        <v>0.0</v>
      </c>
      <c r="C1" s="4">
        <v>6.6</v>
      </c>
      <c r="D1" s="5">
        <f t="shared" ref="D1:D25" si="1">C1*10</f>
        <v>66</v>
      </c>
      <c r="E1" s="4">
        <f t="shared" ref="E1:E25" si="2">B1*10</f>
        <v>0</v>
      </c>
      <c r="F1" s="6">
        <f t="shared" ref="F1:F25" si="3">B$28*C$28^E1+D$1-B$28</f>
        <v>66</v>
      </c>
    </row>
    <row r="2">
      <c r="A2" s="7">
        <v>2.0</v>
      </c>
      <c r="B2" s="7">
        <v>24.97</v>
      </c>
      <c r="C2" s="7">
        <v>7.75</v>
      </c>
      <c r="D2" s="5">
        <f t="shared" si="1"/>
        <v>77.5</v>
      </c>
      <c r="E2" s="4">
        <f t="shared" si="2"/>
        <v>249.7</v>
      </c>
      <c r="F2" s="6">
        <f t="shared" si="3"/>
        <v>77.64076069</v>
      </c>
    </row>
    <row r="3">
      <c r="A3" s="4">
        <v>3.0</v>
      </c>
      <c r="B3" s="4">
        <v>49.93</v>
      </c>
      <c r="C3" s="4">
        <v>9.1</v>
      </c>
      <c r="D3" s="5">
        <f t="shared" si="1"/>
        <v>91</v>
      </c>
      <c r="E3" s="4">
        <f t="shared" si="2"/>
        <v>499.3</v>
      </c>
      <c r="F3" s="6">
        <f t="shared" si="3"/>
        <v>91.29208141</v>
      </c>
    </row>
    <row r="4">
      <c r="A4" s="7">
        <v>4.0</v>
      </c>
      <c r="B4" s="7">
        <v>74.9</v>
      </c>
      <c r="C4" s="7">
        <v>10.68</v>
      </c>
      <c r="D4" s="5">
        <f t="shared" si="1"/>
        <v>106.8</v>
      </c>
      <c r="E4" s="4">
        <f t="shared" si="2"/>
        <v>749</v>
      </c>
      <c r="F4" s="6">
        <f t="shared" si="3"/>
        <v>107.3140782</v>
      </c>
    </row>
    <row r="5">
      <c r="A5" s="4">
        <v>5.0</v>
      </c>
      <c r="B5" s="4">
        <v>99.86</v>
      </c>
      <c r="C5" s="4">
        <v>12.54</v>
      </c>
      <c r="D5" s="5">
        <f t="shared" si="1"/>
        <v>125.4</v>
      </c>
      <c r="E5" s="4">
        <f t="shared" si="2"/>
        <v>998.6</v>
      </c>
      <c r="F5" s="6">
        <f t="shared" si="3"/>
        <v>126.1033501</v>
      </c>
    </row>
    <row r="6">
      <c r="A6" s="7">
        <v>6.0</v>
      </c>
      <c r="B6" s="7">
        <v>124.83</v>
      </c>
      <c r="C6" s="7">
        <v>14.73</v>
      </c>
      <c r="D6" s="5">
        <f t="shared" si="1"/>
        <v>147.3</v>
      </c>
      <c r="E6" s="4">
        <f t="shared" si="2"/>
        <v>1248.3</v>
      </c>
      <c r="F6" s="6">
        <f t="shared" si="3"/>
        <v>148.15555</v>
      </c>
    </row>
    <row r="7">
      <c r="A7" s="4">
        <v>7.0</v>
      </c>
      <c r="B7" s="4">
        <v>149.8</v>
      </c>
      <c r="C7" s="4">
        <v>17.29</v>
      </c>
      <c r="D7" s="5">
        <f t="shared" si="1"/>
        <v>172.9</v>
      </c>
      <c r="E7" s="4">
        <f t="shared" si="2"/>
        <v>1498</v>
      </c>
      <c r="F7" s="6">
        <f t="shared" si="3"/>
        <v>174.0277555</v>
      </c>
    </row>
    <row r="8">
      <c r="A8" s="7">
        <v>8.0</v>
      </c>
      <c r="B8" s="7">
        <v>174.76</v>
      </c>
      <c r="C8" s="7">
        <v>20.3</v>
      </c>
      <c r="D8" s="5">
        <f t="shared" si="1"/>
        <v>203</v>
      </c>
      <c r="E8" s="4">
        <f t="shared" si="2"/>
        <v>1747.6</v>
      </c>
      <c r="F8" s="6">
        <f t="shared" si="3"/>
        <v>204.368537</v>
      </c>
    </row>
    <row r="9">
      <c r="A9" s="4">
        <v>9.0</v>
      </c>
      <c r="B9" s="4">
        <v>199.73</v>
      </c>
      <c r="C9" s="4">
        <v>23.84</v>
      </c>
      <c r="D9" s="5">
        <f t="shared" si="1"/>
        <v>238.4</v>
      </c>
      <c r="E9" s="4">
        <f t="shared" si="2"/>
        <v>1997.3</v>
      </c>
      <c r="F9" s="6">
        <f t="shared" si="3"/>
        <v>239.9782713</v>
      </c>
      <c r="P9" s="4">
        <v>1.0</v>
      </c>
      <c r="Q9" s="4">
        <v>0.0</v>
      </c>
      <c r="R9" s="4">
        <v>6.6</v>
      </c>
      <c r="S9" s="5">
        <v>34.212</v>
      </c>
      <c r="T9" s="4" t="s">
        <v>20</v>
      </c>
    </row>
    <row r="10">
      <c r="A10" s="7">
        <v>10.0</v>
      </c>
      <c r="B10" s="7">
        <v>224.69</v>
      </c>
      <c r="C10" s="7">
        <v>27.99</v>
      </c>
      <c r="D10" s="5">
        <f t="shared" si="1"/>
        <v>279.9</v>
      </c>
      <c r="E10" s="4">
        <f t="shared" si="2"/>
        <v>2246.9</v>
      </c>
      <c r="F10" s="6">
        <f t="shared" si="3"/>
        <v>281.7384205</v>
      </c>
      <c r="P10" s="7">
        <v>2.0</v>
      </c>
      <c r="Q10" s="7">
        <v>24.97</v>
      </c>
      <c r="R10" s="7">
        <v>7.75</v>
      </c>
      <c r="S10" s="8">
        <v>47.162</v>
      </c>
      <c r="T10" s="7" t="s">
        <v>21</v>
      </c>
    </row>
    <row r="11">
      <c r="A11" s="4">
        <v>11.0</v>
      </c>
      <c r="B11" s="4">
        <v>249.66</v>
      </c>
      <c r="C11" s="4">
        <v>32.87</v>
      </c>
      <c r="D11" s="5">
        <f t="shared" si="1"/>
        <v>328.7</v>
      </c>
      <c r="E11" s="4">
        <f t="shared" si="2"/>
        <v>2496.6</v>
      </c>
      <c r="F11" s="6">
        <f t="shared" si="3"/>
        <v>330.7505997</v>
      </c>
      <c r="P11" s="4">
        <v>3.0</v>
      </c>
      <c r="Q11" s="4">
        <v>49.93</v>
      </c>
      <c r="R11" s="4">
        <v>9.1</v>
      </c>
      <c r="S11" s="5">
        <v>65.022</v>
      </c>
      <c r="T11" s="4" t="s">
        <v>22</v>
      </c>
    </row>
    <row r="12">
      <c r="A12" s="7">
        <v>12.0</v>
      </c>
      <c r="B12" s="7">
        <v>274.63</v>
      </c>
      <c r="C12" s="7">
        <v>38.59</v>
      </c>
      <c r="D12" s="5">
        <f t="shared" si="1"/>
        <v>385.9</v>
      </c>
      <c r="E12" s="4">
        <f t="shared" si="2"/>
        <v>2746.3</v>
      </c>
      <c r="F12" s="6">
        <f t="shared" si="3"/>
        <v>388.2529434</v>
      </c>
      <c r="P12" s="7">
        <v>4.0</v>
      </c>
      <c r="Q12" s="7">
        <v>74.9</v>
      </c>
      <c r="R12" s="7">
        <v>10.68</v>
      </c>
      <c r="S12" s="8">
        <v>89.642</v>
      </c>
      <c r="T12" s="7" t="s">
        <v>23</v>
      </c>
    </row>
    <row r="13">
      <c r="A13" s="4">
        <v>13.0</v>
      </c>
      <c r="B13" s="4">
        <v>299.59</v>
      </c>
      <c r="C13" s="4">
        <v>45.31</v>
      </c>
      <c r="D13" s="5">
        <f t="shared" si="1"/>
        <v>453.1</v>
      </c>
      <c r="E13" s="4">
        <f t="shared" si="2"/>
        <v>2995.9</v>
      </c>
      <c r="F13" s="6">
        <f t="shared" si="3"/>
        <v>455.686933</v>
      </c>
      <c r="P13" s="4">
        <v>5.0</v>
      </c>
      <c r="Q13" s="4">
        <v>99.86</v>
      </c>
      <c r="R13" s="4">
        <v>12.54</v>
      </c>
      <c r="S13" s="5">
        <v>123.582</v>
      </c>
      <c r="T13" s="4" t="s">
        <v>24</v>
      </c>
    </row>
    <row r="14">
      <c r="A14" s="7">
        <v>14.0</v>
      </c>
      <c r="B14" s="7">
        <v>324.56</v>
      </c>
      <c r="C14" s="7">
        <v>53.2</v>
      </c>
      <c r="D14" s="5">
        <f t="shared" si="1"/>
        <v>532</v>
      </c>
      <c r="E14" s="4">
        <f t="shared" si="2"/>
        <v>3245.6</v>
      </c>
      <c r="F14" s="6">
        <f t="shared" si="3"/>
        <v>534.8314486</v>
      </c>
      <c r="P14" s="7">
        <v>6.0</v>
      </c>
      <c r="Q14" s="7">
        <v>124.83</v>
      </c>
      <c r="R14" s="7">
        <v>14.73</v>
      </c>
      <c r="S14" s="8">
        <v>170.362</v>
      </c>
      <c r="T14" s="7" t="s">
        <v>25</v>
      </c>
    </row>
    <row r="15">
      <c r="A15" s="4">
        <v>15.0</v>
      </c>
      <c r="B15" s="4">
        <v>349.52</v>
      </c>
      <c r="C15" s="4">
        <v>62.46</v>
      </c>
      <c r="D15" s="5">
        <f t="shared" si="1"/>
        <v>624.6</v>
      </c>
      <c r="E15" s="4">
        <f t="shared" si="2"/>
        <v>3495.2</v>
      </c>
      <c r="F15" s="6">
        <f t="shared" si="3"/>
        <v>627.6455863</v>
      </c>
      <c r="P15" s="4">
        <v>7.0</v>
      </c>
      <c r="Q15" s="4">
        <v>149.8</v>
      </c>
      <c r="R15" s="4">
        <v>17.29</v>
      </c>
      <c r="S15" s="5">
        <v>234.862</v>
      </c>
      <c r="T15" s="4" t="s">
        <v>26</v>
      </c>
    </row>
    <row r="16">
      <c r="A16" s="7">
        <v>16.0</v>
      </c>
      <c r="B16" s="7">
        <v>374.49</v>
      </c>
      <c r="C16" s="7">
        <v>73.34</v>
      </c>
      <c r="D16" s="5">
        <f t="shared" si="1"/>
        <v>733.4</v>
      </c>
      <c r="E16" s="4">
        <f t="shared" si="2"/>
        <v>3744.9</v>
      </c>
      <c r="F16" s="6">
        <f t="shared" si="3"/>
        <v>736.5777438</v>
      </c>
      <c r="P16" s="7">
        <v>8.0</v>
      </c>
      <c r="Q16" s="7">
        <v>174.76</v>
      </c>
      <c r="R16" s="7">
        <v>20.3</v>
      </c>
      <c r="S16" s="8">
        <v>323.782</v>
      </c>
      <c r="T16" s="7" t="s">
        <v>27</v>
      </c>
    </row>
    <row r="17">
      <c r="A17" s="4">
        <v>17.0</v>
      </c>
      <c r="B17" s="4">
        <v>399.45</v>
      </c>
      <c r="C17" s="4">
        <v>86.11</v>
      </c>
      <c r="D17" s="5">
        <f t="shared" si="1"/>
        <v>861.1</v>
      </c>
      <c r="E17" s="4">
        <f t="shared" si="2"/>
        <v>3994.5</v>
      </c>
      <c r="F17" s="6">
        <f t="shared" si="3"/>
        <v>864.3243626</v>
      </c>
      <c r="P17" s="4">
        <v>9.0</v>
      </c>
      <c r="Q17" s="4">
        <v>199.73</v>
      </c>
      <c r="R17" s="4">
        <v>23.84</v>
      </c>
      <c r="S17" s="5">
        <v>446.362</v>
      </c>
      <c r="T17" s="4" t="s">
        <v>28</v>
      </c>
    </row>
    <row r="18">
      <c r="A18" s="7">
        <v>18.0</v>
      </c>
      <c r="B18" s="7">
        <v>424.42</v>
      </c>
      <c r="C18" s="7">
        <v>101.11</v>
      </c>
      <c r="D18" s="5">
        <f t="shared" si="1"/>
        <v>1011.1</v>
      </c>
      <c r="E18" s="4">
        <f t="shared" si="2"/>
        <v>4244.2</v>
      </c>
      <c r="F18" s="6">
        <f t="shared" si="3"/>
        <v>1014.255344</v>
      </c>
      <c r="P18" s="7">
        <v>10.0</v>
      </c>
      <c r="Q18" s="7">
        <v>224.69</v>
      </c>
      <c r="R18" s="7">
        <v>27.99</v>
      </c>
      <c r="S18" s="8">
        <v>615.362</v>
      </c>
      <c r="T18" s="7" t="s">
        <v>29</v>
      </c>
    </row>
    <row r="19">
      <c r="A19" s="4">
        <v>19.0</v>
      </c>
      <c r="B19" s="4">
        <v>449.39</v>
      </c>
      <c r="C19" s="4">
        <v>118.71</v>
      </c>
      <c r="D19" s="5">
        <f t="shared" si="1"/>
        <v>1187.1</v>
      </c>
      <c r="E19" s="4">
        <f t="shared" si="2"/>
        <v>4493.9</v>
      </c>
      <c r="F19" s="6">
        <f t="shared" si="3"/>
        <v>1190.158211</v>
      </c>
      <c r="P19" s="4">
        <v>11.0</v>
      </c>
      <c r="Q19" s="4">
        <v>249.66</v>
      </c>
      <c r="R19" s="4">
        <v>32.87</v>
      </c>
      <c r="S19" s="5">
        <v>848.332</v>
      </c>
      <c r="T19" s="4" t="s">
        <v>30</v>
      </c>
    </row>
    <row r="20">
      <c r="A20" s="7">
        <v>20.0</v>
      </c>
      <c r="B20" s="7">
        <v>474.35</v>
      </c>
      <c r="C20" s="7">
        <v>139.38</v>
      </c>
      <c r="D20" s="5">
        <f t="shared" si="1"/>
        <v>1393.8</v>
      </c>
      <c r="E20" s="4">
        <f t="shared" si="2"/>
        <v>4743.5</v>
      </c>
      <c r="F20" s="6">
        <f t="shared" si="3"/>
        <v>1396.442535</v>
      </c>
      <c r="P20" s="7">
        <v>12.0</v>
      </c>
      <c r="Q20" s="7">
        <v>274.63</v>
      </c>
      <c r="R20" s="7">
        <v>38.59</v>
      </c>
      <c r="S20" s="8" t="s">
        <v>31</v>
      </c>
      <c r="T20" s="7" t="s">
        <v>32</v>
      </c>
    </row>
    <row r="21">
      <c r="A21" s="4">
        <v>21.0</v>
      </c>
      <c r="B21" s="4">
        <v>499.32</v>
      </c>
      <c r="C21" s="4">
        <v>163.66</v>
      </c>
      <c r="D21" s="5">
        <f t="shared" si="1"/>
        <v>1636.6</v>
      </c>
      <c r="E21" s="4">
        <f t="shared" si="2"/>
        <v>4993.2</v>
      </c>
      <c r="F21" s="6">
        <f t="shared" si="3"/>
        <v>1638.55001</v>
      </c>
      <c r="P21" s="4">
        <v>13.0</v>
      </c>
      <c r="Q21" s="4">
        <v>299.59</v>
      </c>
      <c r="R21" s="4">
        <v>45.31</v>
      </c>
      <c r="S21" s="5" t="s">
        <v>33</v>
      </c>
      <c r="T21" s="4" t="s">
        <v>34</v>
      </c>
    </row>
    <row r="22">
      <c r="A22" s="7">
        <v>22.0</v>
      </c>
      <c r="B22" s="7">
        <v>524.28</v>
      </c>
      <c r="C22" s="7">
        <v>192.15</v>
      </c>
      <c r="D22" s="5">
        <f t="shared" si="1"/>
        <v>1921.5</v>
      </c>
      <c r="E22" s="4">
        <f t="shared" si="2"/>
        <v>5242.8</v>
      </c>
      <c r="F22" s="6">
        <f t="shared" si="3"/>
        <v>1922.473619</v>
      </c>
      <c r="P22" s="7">
        <v>14.0</v>
      </c>
      <c r="Q22" s="7">
        <v>324.56</v>
      </c>
      <c r="R22" s="7">
        <v>53.2</v>
      </c>
      <c r="S22" s="7">
        <v>2222.72</v>
      </c>
      <c r="T22" s="7" t="s">
        <v>35</v>
      </c>
    </row>
    <row r="23">
      <c r="A23" s="4">
        <v>23.0</v>
      </c>
      <c r="B23" s="4">
        <v>549.25</v>
      </c>
      <c r="C23" s="4">
        <v>225.62</v>
      </c>
      <c r="D23" s="5">
        <f t="shared" si="1"/>
        <v>2256.2</v>
      </c>
      <c r="E23" s="4">
        <f t="shared" si="2"/>
        <v>5492.5</v>
      </c>
      <c r="F23" s="6">
        <f t="shared" si="3"/>
        <v>2255.703146</v>
      </c>
      <c r="P23" s="4">
        <v>15.0</v>
      </c>
      <c r="Q23" s="4">
        <v>349.52</v>
      </c>
      <c r="R23" s="4">
        <v>62.46</v>
      </c>
      <c r="S23" s="5" t="s">
        <v>36</v>
      </c>
      <c r="T23" s="4" t="s">
        <v>37</v>
      </c>
    </row>
    <row r="24">
      <c r="A24" s="7">
        <v>24.0</v>
      </c>
      <c r="B24" s="7">
        <v>574.22</v>
      </c>
      <c r="C24" s="7">
        <v>264.9</v>
      </c>
      <c r="D24" s="5">
        <f t="shared" si="1"/>
        <v>2649</v>
      </c>
      <c r="E24" s="4">
        <f t="shared" si="2"/>
        <v>5742.2</v>
      </c>
      <c r="F24" s="6">
        <f t="shared" si="3"/>
        <v>2646.65656</v>
      </c>
      <c r="P24" s="7">
        <v>16.0</v>
      </c>
      <c r="Q24" s="7">
        <v>374.49</v>
      </c>
      <c r="R24" s="7">
        <v>73.34</v>
      </c>
      <c r="S24" s="8" t="s">
        <v>38</v>
      </c>
      <c r="T24" s="7" t="s">
        <v>39</v>
      </c>
    </row>
    <row r="25">
      <c r="A25" s="4">
        <v>25.0</v>
      </c>
      <c r="B25" s="4">
        <v>599.18</v>
      </c>
      <c r="C25" s="4">
        <v>311.03</v>
      </c>
      <c r="D25" s="5">
        <f t="shared" si="1"/>
        <v>3110.3</v>
      </c>
      <c r="E25" s="4">
        <f t="shared" si="2"/>
        <v>5991.8</v>
      </c>
      <c r="F25" s="6">
        <f t="shared" si="3"/>
        <v>3105.134368</v>
      </c>
      <c r="P25" s="4">
        <v>17.0</v>
      </c>
      <c r="Q25" s="4">
        <v>399.45</v>
      </c>
      <c r="R25" s="4">
        <v>86.11</v>
      </c>
      <c r="S25" s="5" t="s">
        <v>40</v>
      </c>
      <c r="T25" s="4" t="s">
        <v>41</v>
      </c>
    </row>
    <row r="26">
      <c r="P26" s="7">
        <v>18.0</v>
      </c>
      <c r="Q26" s="7">
        <v>424.42</v>
      </c>
      <c r="R26" s="7">
        <v>101.11</v>
      </c>
      <c r="S26" s="8" t="s">
        <v>42</v>
      </c>
      <c r="T26" s="7" t="s">
        <v>43</v>
      </c>
    </row>
    <row r="27">
      <c r="B27" s="1" t="s">
        <v>8</v>
      </c>
      <c r="C27" s="1" t="s">
        <v>9</v>
      </c>
      <c r="P27" s="4">
        <v>19.0</v>
      </c>
      <c r="Q27" s="4">
        <v>449.39</v>
      </c>
      <c r="R27" s="4">
        <v>118.71</v>
      </c>
      <c r="S27" s="5" t="s">
        <v>44</v>
      </c>
      <c r="T27" s="4" t="s">
        <v>45</v>
      </c>
    </row>
    <row r="28">
      <c r="B28" s="1">
        <v>67.2</v>
      </c>
      <c r="C28" s="1">
        <v>1.00064</v>
      </c>
      <c r="P28" s="7">
        <v>20.0</v>
      </c>
      <c r="Q28" s="7">
        <v>474.35</v>
      </c>
      <c r="R28" s="7">
        <v>139.38</v>
      </c>
      <c r="S28" s="8" t="s">
        <v>46</v>
      </c>
      <c r="T28" s="7" t="s">
        <v>47</v>
      </c>
    </row>
    <row r="29">
      <c r="P29" s="4">
        <v>21.0</v>
      </c>
      <c r="Q29" s="4">
        <v>499.32</v>
      </c>
      <c r="R29" s="4">
        <v>163.66</v>
      </c>
      <c r="S29" s="5" t="s">
        <v>48</v>
      </c>
      <c r="T29" s="4" t="s">
        <v>49</v>
      </c>
    </row>
    <row r="30">
      <c r="P30" s="7">
        <v>22.0</v>
      </c>
      <c r="Q30" s="7">
        <v>524.28</v>
      </c>
      <c r="R30" s="7">
        <v>192.15</v>
      </c>
      <c r="S30" s="7">
        <v>28999.52</v>
      </c>
      <c r="T30" s="7" t="s">
        <v>50</v>
      </c>
    </row>
    <row r="31">
      <c r="P31" s="4">
        <v>23.0</v>
      </c>
      <c r="Q31" s="4">
        <v>549.25</v>
      </c>
      <c r="R31" s="4">
        <v>225.62</v>
      </c>
      <c r="S31" s="5" t="s">
        <v>51</v>
      </c>
      <c r="T31" s="4" t="s">
        <v>52</v>
      </c>
    </row>
    <row r="32">
      <c r="P32" s="7">
        <v>24.0</v>
      </c>
      <c r="Q32" s="7">
        <v>574.22</v>
      </c>
      <c r="R32" s="7">
        <v>264.9</v>
      </c>
      <c r="S32" s="8" t="s">
        <v>53</v>
      </c>
      <c r="T32" s="7" t="s">
        <v>54</v>
      </c>
    </row>
    <row r="33">
      <c r="P33" s="4">
        <v>25.0</v>
      </c>
      <c r="Q33" s="4">
        <v>599.18</v>
      </c>
      <c r="R33" s="4">
        <v>311.03</v>
      </c>
      <c r="S33" s="5" t="s">
        <v>55</v>
      </c>
      <c r="T33" s="4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3">
        <f>556*555</f>
        <v>308580</v>
      </c>
      <c r="D1" s="1">
        <v>0.0</v>
      </c>
      <c r="E1" s="3">
        <f t="shared" ref="E1:E78" si="1">B$1*B$2^(B$3*D1)</f>
        <v>308580</v>
      </c>
      <c r="F1" s="3">
        <f t="shared" ref="F1:F78" si="2">E1/555</f>
        <v>556</v>
      </c>
    </row>
    <row r="2">
      <c r="A2" s="1" t="s">
        <v>58</v>
      </c>
      <c r="B2" s="9">
        <v>2.71828</v>
      </c>
      <c r="D2" s="1">
        <v>0.1</v>
      </c>
      <c r="E2" s="3">
        <f t="shared" si="1"/>
        <v>328974.7782</v>
      </c>
      <c r="F2" s="3">
        <f t="shared" si="2"/>
        <v>592.7473482</v>
      </c>
    </row>
    <row r="3">
      <c r="A3" s="1" t="s">
        <v>59</v>
      </c>
      <c r="B3" s="1">
        <v>0.64</v>
      </c>
      <c r="D3" s="1">
        <v>0.2</v>
      </c>
      <c r="E3" s="3">
        <f t="shared" si="1"/>
        <v>350717.4954</v>
      </c>
      <c r="F3" s="3">
        <f t="shared" si="2"/>
        <v>631.9234151</v>
      </c>
    </row>
    <row r="4">
      <c r="D4" s="1">
        <v>0.3</v>
      </c>
      <c r="E4" s="3">
        <f t="shared" si="1"/>
        <v>373897.2398</v>
      </c>
      <c r="F4" s="3">
        <f t="shared" si="2"/>
        <v>673.6887204</v>
      </c>
    </row>
    <row r="5">
      <c r="D5" s="1">
        <v>0.4</v>
      </c>
      <c r="E5" s="3">
        <f t="shared" si="1"/>
        <v>398608.9881</v>
      </c>
      <c r="F5" s="3">
        <f t="shared" si="2"/>
        <v>718.2143931</v>
      </c>
    </row>
    <row r="6">
      <c r="D6" s="1">
        <v>0.5</v>
      </c>
      <c r="E6" s="3">
        <f t="shared" si="1"/>
        <v>424953.994</v>
      </c>
      <c r="F6" s="3">
        <f t="shared" si="2"/>
        <v>765.6828722</v>
      </c>
    </row>
    <row r="7">
      <c r="D7" s="1">
        <v>0.6</v>
      </c>
      <c r="E7" s="3">
        <f t="shared" si="1"/>
        <v>453040.2034</v>
      </c>
      <c r="F7" s="3">
        <f t="shared" si="2"/>
        <v>816.2886547</v>
      </c>
    </row>
    <row r="8">
      <c r="D8" s="1">
        <v>0.61</v>
      </c>
      <c r="E8" s="3">
        <f t="shared" si="1"/>
        <v>455948.9568</v>
      </c>
      <c r="F8" s="3">
        <f t="shared" si="2"/>
        <v>821.5296519</v>
      </c>
    </row>
    <row r="9">
      <c r="D9" s="1">
        <v>0.611</v>
      </c>
      <c r="E9" s="3">
        <f t="shared" si="1"/>
        <v>456240.8573</v>
      </c>
      <c r="F9" s="3">
        <f t="shared" si="2"/>
        <v>822.0555988</v>
      </c>
    </row>
    <row r="10">
      <c r="D10" s="1">
        <v>0.612</v>
      </c>
      <c r="E10" s="3">
        <f t="shared" si="1"/>
        <v>456532.9447</v>
      </c>
      <c r="F10" s="3">
        <f t="shared" si="2"/>
        <v>822.5818824</v>
      </c>
    </row>
    <row r="11">
      <c r="D11" s="1">
        <v>0.613</v>
      </c>
      <c r="E11" s="3">
        <f t="shared" si="1"/>
        <v>456825.2192</v>
      </c>
      <c r="F11" s="3">
        <f t="shared" si="2"/>
        <v>823.108503</v>
      </c>
    </row>
    <row r="12">
      <c r="D12" s="1">
        <v>0.614</v>
      </c>
      <c r="E12" s="3">
        <f t="shared" si="1"/>
        <v>457117.6807</v>
      </c>
      <c r="F12" s="3">
        <f t="shared" si="2"/>
        <v>823.6354607</v>
      </c>
    </row>
    <row r="13">
      <c r="D13" s="1">
        <v>0.614999999999999</v>
      </c>
      <c r="E13" s="3">
        <f t="shared" si="1"/>
        <v>457410.3294</v>
      </c>
      <c r="F13" s="3">
        <f t="shared" si="2"/>
        <v>824.1627557</v>
      </c>
    </row>
    <row r="14">
      <c r="D14" s="1">
        <v>0.7</v>
      </c>
      <c r="E14" s="3">
        <f t="shared" si="1"/>
        <v>482982.6964</v>
      </c>
      <c r="F14" s="3">
        <f t="shared" si="2"/>
        <v>870.2390925</v>
      </c>
    </row>
    <row r="15">
      <c r="D15" s="1">
        <v>0.8</v>
      </c>
      <c r="E15" s="3">
        <f t="shared" si="1"/>
        <v>514904.1592</v>
      </c>
      <c r="F15" s="3">
        <f t="shared" si="2"/>
        <v>927.7552417</v>
      </c>
    </row>
    <row r="16">
      <c r="D16" s="1">
        <v>0.9</v>
      </c>
      <c r="E16" s="3">
        <f t="shared" si="1"/>
        <v>548935.3865</v>
      </c>
      <c r="F16" s="3">
        <f t="shared" si="2"/>
        <v>989.0727685</v>
      </c>
    </row>
    <row r="17">
      <c r="D17" s="1">
        <v>1.0</v>
      </c>
      <c r="E17" s="3">
        <f t="shared" si="1"/>
        <v>585215.8178</v>
      </c>
      <c r="F17" s="3">
        <f t="shared" si="2"/>
        <v>1054.442915</v>
      </c>
    </row>
    <row r="18">
      <c r="D18" s="1">
        <v>1.1</v>
      </c>
      <c r="E18" s="3">
        <f t="shared" si="1"/>
        <v>623894.1081</v>
      </c>
      <c r="F18" s="3">
        <f t="shared" si="2"/>
        <v>1124.133528</v>
      </c>
    </row>
    <row r="19">
      <c r="D19" s="1">
        <v>1.11</v>
      </c>
      <c r="E19" s="3">
        <f t="shared" si="1"/>
        <v>627899.8324</v>
      </c>
      <c r="F19" s="3">
        <f t="shared" si="2"/>
        <v>1131.351049</v>
      </c>
    </row>
    <row r="20">
      <c r="D20" s="1">
        <v>1.12</v>
      </c>
      <c r="E20" s="3">
        <f t="shared" si="1"/>
        <v>631931.2754</v>
      </c>
      <c r="F20" s="3">
        <f t="shared" si="2"/>
        <v>1138.614911</v>
      </c>
    </row>
    <row r="21">
      <c r="D21" s="1">
        <v>1.13</v>
      </c>
      <c r="E21" s="3">
        <f t="shared" si="1"/>
        <v>635988.6025</v>
      </c>
      <c r="F21" s="3">
        <f t="shared" si="2"/>
        <v>1145.92541</v>
      </c>
    </row>
    <row r="22">
      <c r="D22" s="1">
        <v>1.14</v>
      </c>
      <c r="E22" s="3">
        <f t="shared" si="1"/>
        <v>640071.9797</v>
      </c>
      <c r="F22" s="3">
        <f t="shared" si="2"/>
        <v>1153.282846</v>
      </c>
    </row>
    <row r="23">
      <c r="D23" s="1">
        <v>1.15</v>
      </c>
      <c r="E23" s="3">
        <f t="shared" si="1"/>
        <v>644181.5742</v>
      </c>
      <c r="F23" s="3">
        <f t="shared" si="2"/>
        <v>1160.687521</v>
      </c>
    </row>
    <row r="24">
      <c r="D24" s="1">
        <v>1.16</v>
      </c>
      <c r="E24" s="3">
        <f t="shared" si="1"/>
        <v>648317.5546</v>
      </c>
      <c r="F24" s="3">
        <f t="shared" si="2"/>
        <v>1168.139738</v>
      </c>
    </row>
    <row r="25">
      <c r="D25" s="1">
        <v>1.17</v>
      </c>
      <c r="E25" s="3">
        <f t="shared" si="1"/>
        <v>652480.09</v>
      </c>
      <c r="F25" s="3">
        <f t="shared" si="2"/>
        <v>1175.639802</v>
      </c>
    </row>
    <row r="26">
      <c r="D26" s="1">
        <v>1.18</v>
      </c>
      <c r="E26" s="3">
        <f t="shared" si="1"/>
        <v>656669.3511</v>
      </c>
      <c r="F26" s="3">
        <f t="shared" si="2"/>
        <v>1183.18802</v>
      </c>
    </row>
    <row r="27">
      <c r="D27" s="1">
        <v>1.19</v>
      </c>
      <c r="E27" s="3">
        <f t="shared" si="1"/>
        <v>660885.5094</v>
      </c>
      <c r="F27" s="3">
        <f t="shared" si="2"/>
        <v>1190.784702</v>
      </c>
    </row>
    <row r="28">
      <c r="D28" s="1">
        <v>1.2</v>
      </c>
      <c r="E28" s="3">
        <f t="shared" si="1"/>
        <v>665128.7377</v>
      </c>
      <c r="F28" s="3">
        <f t="shared" si="2"/>
        <v>1198.430158</v>
      </c>
    </row>
    <row r="29">
      <c r="D29" s="1">
        <v>1.21</v>
      </c>
      <c r="E29" s="3">
        <f t="shared" si="1"/>
        <v>669399.2097</v>
      </c>
      <c r="F29" s="3">
        <f t="shared" si="2"/>
        <v>1206.124702</v>
      </c>
    </row>
    <row r="30">
      <c r="D30" s="1">
        <v>1.22</v>
      </c>
      <c r="E30" s="3">
        <f t="shared" si="1"/>
        <v>673697.1003</v>
      </c>
      <c r="F30" s="3">
        <f t="shared" si="2"/>
        <v>1213.868649</v>
      </c>
    </row>
    <row r="31">
      <c r="D31" s="1">
        <v>1.23</v>
      </c>
      <c r="E31" s="3">
        <f t="shared" si="1"/>
        <v>678022.5856</v>
      </c>
      <c r="F31" s="3">
        <f t="shared" si="2"/>
        <v>1221.662316</v>
      </c>
    </row>
    <row r="32">
      <c r="D32" s="1">
        <v>1.24</v>
      </c>
      <c r="E32" s="3">
        <f t="shared" si="1"/>
        <v>682375.8428</v>
      </c>
      <c r="F32" s="3">
        <f t="shared" si="2"/>
        <v>1229.506023</v>
      </c>
    </row>
    <row r="33">
      <c r="D33" s="1">
        <v>1.25</v>
      </c>
      <c r="E33" s="3">
        <f t="shared" si="1"/>
        <v>686757.0502</v>
      </c>
      <c r="F33" s="3">
        <f t="shared" si="2"/>
        <v>1237.40009</v>
      </c>
    </row>
    <row r="34">
      <c r="D34" s="1">
        <v>0.635999999999997</v>
      </c>
      <c r="E34" s="3">
        <f t="shared" si="1"/>
        <v>463599.4176</v>
      </c>
      <c r="F34" s="3">
        <f t="shared" si="2"/>
        <v>835.314266</v>
      </c>
    </row>
    <row r="35">
      <c r="D35" s="1">
        <v>0.636999999999997</v>
      </c>
      <c r="E35" s="3">
        <f t="shared" si="1"/>
        <v>463896.216</v>
      </c>
      <c r="F35" s="3">
        <f t="shared" si="2"/>
        <v>835.8490378</v>
      </c>
    </row>
    <row r="36">
      <c r="D36" s="1">
        <v>0.637999999999997</v>
      </c>
      <c r="E36" s="3">
        <f t="shared" si="1"/>
        <v>464193.2044</v>
      </c>
      <c r="F36" s="3">
        <f t="shared" si="2"/>
        <v>836.3841521</v>
      </c>
    </row>
    <row r="37">
      <c r="D37" s="1">
        <v>0.638999999999997</v>
      </c>
      <c r="E37" s="3">
        <f t="shared" si="1"/>
        <v>464490.3829</v>
      </c>
      <c r="F37" s="3">
        <f t="shared" si="2"/>
        <v>836.9196089</v>
      </c>
    </row>
    <row r="38">
      <c r="D38" s="1">
        <v>0.639999999999997</v>
      </c>
      <c r="E38" s="3">
        <f t="shared" si="1"/>
        <v>464787.7517</v>
      </c>
      <c r="F38" s="3">
        <f t="shared" si="2"/>
        <v>837.4554085</v>
      </c>
    </row>
    <row r="39">
      <c r="D39" s="1">
        <v>0.640999999999997</v>
      </c>
      <c r="E39" s="3">
        <f t="shared" si="1"/>
        <v>465085.3109</v>
      </c>
      <c r="F39" s="3">
        <f t="shared" si="2"/>
        <v>837.9915512</v>
      </c>
    </row>
    <row r="40">
      <c r="D40" s="1">
        <v>0.641999999999997</v>
      </c>
      <c r="E40" s="3">
        <f t="shared" si="1"/>
        <v>465383.0606</v>
      </c>
      <c r="F40" s="3">
        <f t="shared" si="2"/>
        <v>838.5280371</v>
      </c>
    </row>
    <row r="41">
      <c r="D41" s="1">
        <v>0.642999999999996</v>
      </c>
      <c r="E41" s="3">
        <f t="shared" si="1"/>
        <v>465681.0009</v>
      </c>
      <c r="F41" s="3">
        <f t="shared" si="2"/>
        <v>839.0648664</v>
      </c>
    </row>
    <row r="42">
      <c r="D42" s="1">
        <v>0.643999999999996</v>
      </c>
      <c r="E42" s="3">
        <f t="shared" si="1"/>
        <v>465979.1319</v>
      </c>
      <c r="F42" s="3">
        <f t="shared" si="2"/>
        <v>839.6020394</v>
      </c>
    </row>
    <row r="43">
      <c r="D43" s="1">
        <v>0.644999999999996</v>
      </c>
      <c r="E43" s="3">
        <f t="shared" si="1"/>
        <v>466277.4538</v>
      </c>
      <c r="F43" s="3">
        <f t="shared" si="2"/>
        <v>840.1395564</v>
      </c>
    </row>
    <row r="44">
      <c r="D44" s="1">
        <v>0.645999999999996</v>
      </c>
      <c r="E44" s="3">
        <f t="shared" si="1"/>
        <v>466575.9667</v>
      </c>
      <c r="F44" s="3">
        <f t="shared" si="2"/>
        <v>840.6774174</v>
      </c>
    </row>
    <row r="45">
      <c r="D45" s="1">
        <v>0.646999999999996</v>
      </c>
      <c r="E45" s="3">
        <f t="shared" si="1"/>
        <v>466874.6707</v>
      </c>
      <c r="F45" s="3">
        <f t="shared" si="2"/>
        <v>841.2156228</v>
      </c>
    </row>
    <row r="46">
      <c r="D46" s="1">
        <v>0.647999999999996</v>
      </c>
      <c r="E46" s="3">
        <f t="shared" si="1"/>
        <v>467173.5659</v>
      </c>
      <c r="F46" s="3">
        <f t="shared" si="2"/>
        <v>841.7541728</v>
      </c>
    </row>
    <row r="47">
      <c r="D47" s="1">
        <v>0.648999999999996</v>
      </c>
      <c r="E47" s="3">
        <f t="shared" si="1"/>
        <v>467472.6525</v>
      </c>
      <c r="F47" s="3">
        <f t="shared" si="2"/>
        <v>842.2930675</v>
      </c>
    </row>
    <row r="48">
      <c r="D48" s="1">
        <v>0.649999999999996</v>
      </c>
      <c r="E48" s="3">
        <f t="shared" si="1"/>
        <v>467771.9305</v>
      </c>
      <c r="F48" s="3">
        <f t="shared" si="2"/>
        <v>842.8323072</v>
      </c>
    </row>
    <row r="49">
      <c r="D49" s="1">
        <v>0.650999999999996</v>
      </c>
      <c r="E49" s="3">
        <f t="shared" si="1"/>
        <v>468071.4002</v>
      </c>
      <c r="F49" s="3">
        <f t="shared" si="2"/>
        <v>843.3718922</v>
      </c>
    </row>
    <row r="50">
      <c r="D50" s="1">
        <v>0.651999999999995</v>
      </c>
      <c r="E50" s="3">
        <f t="shared" si="1"/>
        <v>468371.0616</v>
      </c>
      <c r="F50" s="3">
        <f t="shared" si="2"/>
        <v>843.9118226</v>
      </c>
    </row>
    <row r="51">
      <c r="D51" s="1">
        <v>0.652999999999995</v>
      </c>
      <c r="E51" s="3">
        <f t="shared" si="1"/>
        <v>468670.9148</v>
      </c>
      <c r="F51" s="3">
        <f t="shared" si="2"/>
        <v>844.4520987</v>
      </c>
    </row>
    <row r="52">
      <c r="D52" s="1">
        <v>0.653999999999995</v>
      </c>
      <c r="E52" s="3">
        <f t="shared" si="1"/>
        <v>468970.96</v>
      </c>
      <c r="F52" s="3">
        <f t="shared" si="2"/>
        <v>844.9927207</v>
      </c>
    </row>
    <row r="53">
      <c r="D53" s="1">
        <v>0.654999999999995</v>
      </c>
      <c r="E53" s="3">
        <f t="shared" si="1"/>
        <v>469271.1972</v>
      </c>
      <c r="F53" s="3">
        <f t="shared" si="2"/>
        <v>845.5336887</v>
      </c>
    </row>
    <row r="54">
      <c r="D54" s="1">
        <v>0.655999999999995</v>
      </c>
      <c r="E54" s="3">
        <f t="shared" si="1"/>
        <v>469571.6267</v>
      </c>
      <c r="F54" s="3">
        <f t="shared" si="2"/>
        <v>846.0750031</v>
      </c>
    </row>
    <row r="55">
      <c r="D55" s="1">
        <v>0.656999999999995</v>
      </c>
      <c r="E55" s="3">
        <f t="shared" si="1"/>
        <v>469872.2486</v>
      </c>
      <c r="F55" s="3">
        <f t="shared" si="2"/>
        <v>846.6166641</v>
      </c>
    </row>
    <row r="56">
      <c r="D56" s="1">
        <v>0.657999999999995</v>
      </c>
      <c r="E56" s="3">
        <f t="shared" si="1"/>
        <v>470173.0628</v>
      </c>
      <c r="F56" s="3">
        <f t="shared" si="2"/>
        <v>847.1586718</v>
      </c>
    </row>
    <row r="57">
      <c r="D57" s="1">
        <v>0.658999999999995</v>
      </c>
      <c r="E57" s="3">
        <f t="shared" si="1"/>
        <v>470474.0697</v>
      </c>
      <c r="F57" s="3">
        <f t="shared" si="2"/>
        <v>847.7010265</v>
      </c>
    </row>
    <row r="58">
      <c r="D58" s="1">
        <v>0.659999999999995</v>
      </c>
      <c r="E58" s="3">
        <f t="shared" si="1"/>
        <v>470775.2693</v>
      </c>
      <c r="F58" s="3">
        <f t="shared" si="2"/>
        <v>848.2437285</v>
      </c>
    </row>
    <row r="59">
      <c r="D59" s="1">
        <v>0.660999999999994</v>
      </c>
      <c r="E59" s="3">
        <f t="shared" si="1"/>
        <v>471076.6617</v>
      </c>
      <c r="F59" s="3">
        <f t="shared" si="2"/>
        <v>848.7867778</v>
      </c>
    </row>
    <row r="60">
      <c r="D60" s="1">
        <v>0.661999999999994</v>
      </c>
      <c r="E60" s="3">
        <f t="shared" si="1"/>
        <v>471378.2471</v>
      </c>
      <c r="F60" s="3">
        <f t="shared" si="2"/>
        <v>849.3301749</v>
      </c>
    </row>
    <row r="61">
      <c r="D61" s="1">
        <v>0.662999999999994</v>
      </c>
      <c r="E61" s="3">
        <f t="shared" si="1"/>
        <v>471680.0255</v>
      </c>
      <c r="F61" s="3">
        <f t="shared" si="2"/>
        <v>849.8739198</v>
      </c>
    </row>
    <row r="62">
      <c r="D62" s="1">
        <v>0.663999999999994</v>
      </c>
      <c r="E62" s="3">
        <f t="shared" si="1"/>
        <v>471981.9971</v>
      </c>
      <c r="F62" s="3">
        <f t="shared" si="2"/>
        <v>850.4180128</v>
      </c>
    </row>
    <row r="63">
      <c r="D63" s="1">
        <v>0.664999999999994</v>
      </c>
      <c r="E63" s="3">
        <f t="shared" si="1"/>
        <v>472284.1621</v>
      </c>
      <c r="F63" s="3">
        <f t="shared" si="2"/>
        <v>850.9624542</v>
      </c>
    </row>
    <row r="64">
      <c r="D64" s="1">
        <v>0.665999999999994</v>
      </c>
      <c r="E64" s="3">
        <f t="shared" si="1"/>
        <v>472586.5205</v>
      </c>
      <c r="F64" s="3">
        <f t="shared" si="2"/>
        <v>851.5072441</v>
      </c>
    </row>
    <row r="65">
      <c r="D65" s="1">
        <v>0.666999999999994</v>
      </c>
      <c r="E65" s="3">
        <f t="shared" si="1"/>
        <v>472889.0725</v>
      </c>
      <c r="F65" s="3">
        <f t="shared" si="2"/>
        <v>852.0523828</v>
      </c>
      <c r="G65" s="1" t="s">
        <v>60</v>
      </c>
    </row>
    <row r="66">
      <c r="D66" s="1">
        <v>0.667999999999994</v>
      </c>
      <c r="E66" s="3">
        <f t="shared" si="1"/>
        <v>473191.8181</v>
      </c>
      <c r="F66" s="3">
        <f t="shared" si="2"/>
        <v>852.5978705</v>
      </c>
    </row>
    <row r="67">
      <c r="D67" s="1">
        <v>0.668999999999994</v>
      </c>
      <c r="E67" s="3">
        <f t="shared" si="1"/>
        <v>473494.7576</v>
      </c>
      <c r="F67" s="3">
        <f t="shared" si="2"/>
        <v>853.1437074</v>
      </c>
    </row>
    <row r="68">
      <c r="D68" s="1">
        <v>0.669999999999993</v>
      </c>
      <c r="E68" s="3">
        <f t="shared" si="1"/>
        <v>473797.8911</v>
      </c>
      <c r="F68" s="3">
        <f t="shared" si="2"/>
        <v>853.6898938</v>
      </c>
    </row>
    <row r="69">
      <c r="D69" s="1">
        <v>0.670999999999993</v>
      </c>
      <c r="E69" s="3">
        <f t="shared" si="1"/>
        <v>474101.2186</v>
      </c>
      <c r="F69" s="3">
        <f t="shared" si="2"/>
        <v>854.2364298</v>
      </c>
    </row>
    <row r="70">
      <c r="D70" s="1">
        <v>0.671999999999993</v>
      </c>
      <c r="E70" s="3">
        <f t="shared" si="1"/>
        <v>474404.7402</v>
      </c>
      <c r="F70" s="3">
        <f t="shared" si="2"/>
        <v>854.7833158</v>
      </c>
    </row>
    <row r="71">
      <c r="D71" s="1">
        <v>0.672999999999993</v>
      </c>
      <c r="E71" s="3">
        <f t="shared" si="1"/>
        <v>474708.4563</v>
      </c>
      <c r="F71" s="3">
        <f t="shared" si="2"/>
        <v>855.3305518</v>
      </c>
    </row>
    <row r="72">
      <c r="D72" s="1">
        <v>0.673999999999993</v>
      </c>
      <c r="E72" s="3">
        <f t="shared" si="1"/>
        <v>475012.3667</v>
      </c>
      <c r="F72" s="3">
        <f t="shared" si="2"/>
        <v>855.8781382</v>
      </c>
    </row>
    <row r="73">
      <c r="D73" s="1">
        <v>0.674999999999993</v>
      </c>
      <c r="E73" s="3">
        <f t="shared" si="1"/>
        <v>475316.4717</v>
      </c>
      <c r="F73" s="3">
        <f t="shared" si="2"/>
        <v>856.4260752</v>
      </c>
    </row>
    <row r="74">
      <c r="D74" s="1">
        <v>0.675999999999993</v>
      </c>
      <c r="E74" s="3">
        <f t="shared" si="1"/>
        <v>475620.7714</v>
      </c>
      <c r="F74" s="3">
        <f t="shared" si="2"/>
        <v>856.9743629</v>
      </c>
    </row>
    <row r="75">
      <c r="D75" s="1">
        <v>0.676999999999993</v>
      </c>
      <c r="E75" s="3">
        <f t="shared" si="1"/>
        <v>475925.2659</v>
      </c>
      <c r="F75" s="3">
        <f t="shared" si="2"/>
        <v>857.5230017</v>
      </c>
    </row>
    <row r="76">
      <c r="D76" s="1">
        <v>0.677999999999993</v>
      </c>
      <c r="E76" s="3">
        <f t="shared" si="1"/>
        <v>476229.9554</v>
      </c>
      <c r="F76" s="3">
        <f t="shared" si="2"/>
        <v>858.0719917</v>
      </c>
    </row>
    <row r="77">
      <c r="D77" s="1">
        <v>0.678999999999992</v>
      </c>
      <c r="E77" s="3">
        <f t="shared" si="1"/>
        <v>476534.8399</v>
      </c>
      <c r="F77" s="3">
        <f t="shared" si="2"/>
        <v>858.6213332</v>
      </c>
    </row>
    <row r="78">
      <c r="D78" s="1">
        <v>0.679999999999992</v>
      </c>
      <c r="E78" s="3">
        <f t="shared" si="1"/>
        <v>476839.9196</v>
      </c>
      <c r="F78" s="3">
        <f t="shared" si="2"/>
        <v>859.1710263</v>
      </c>
    </row>
  </sheetData>
  <drawing r:id="rId1"/>
</worksheet>
</file>